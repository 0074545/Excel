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7D478F61-ABBC-43ED-9729-548CFFD9A67D}" xr6:coauthVersionLast="47" xr6:coauthVersionMax="47" xr10:uidLastSave="{00000000-0000-0000-0000-000000000000}"/>
  <bookViews>
    <workbookView xWindow="-108" yWindow="-108" windowWidth="23256" windowHeight="13176" xr2:uid="{3AA7A386-516F-4153-A12A-D5FE31BB1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G2" i="1"/>
  <c r="J2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J3" i="1"/>
  <c r="J4" i="1"/>
  <c r="J5" i="1"/>
  <c r="J6" i="1"/>
  <c r="J7" i="1"/>
  <c r="J8" i="1"/>
  <c r="J9" i="1"/>
  <c r="J10" i="1"/>
  <c r="J11" i="1"/>
  <c r="J12" i="1"/>
  <c r="J13" i="1"/>
  <c r="J14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H3" i="1"/>
  <c r="H4" i="1"/>
  <c r="H5" i="1"/>
  <c r="H6" i="1"/>
  <c r="H7" i="1"/>
  <c r="H8" i="1"/>
  <c r="H9" i="1"/>
  <c r="H10" i="1"/>
  <c r="H11" i="1"/>
  <c r="H12" i="1"/>
  <c r="H13" i="1"/>
  <c r="H14" i="1"/>
  <c r="G3" i="1"/>
  <c r="G4" i="1"/>
  <c r="G5" i="1"/>
  <c r="G6" i="1"/>
  <c r="G7" i="1"/>
  <c r="G8" i="1"/>
  <c r="G9" i="1"/>
  <c r="G10" i="1"/>
  <c r="G11" i="1"/>
  <c r="G12" i="1"/>
  <c r="G13" i="1"/>
  <c r="F2" i="1"/>
  <c r="F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<sst xmlns="http://schemas.openxmlformats.org/spreadsheetml/2006/main" count="47" uniqueCount="47">
  <si>
    <t>first name</t>
  </si>
  <si>
    <t>last name</t>
  </si>
  <si>
    <t>zaid</t>
  </si>
  <si>
    <t>tanay</t>
  </si>
  <si>
    <t>muhad</t>
  </si>
  <si>
    <t>affan</t>
  </si>
  <si>
    <t>zahid</t>
  </si>
  <si>
    <t>arkam</t>
  </si>
  <si>
    <t>piyush</t>
  </si>
  <si>
    <t>omkar</t>
  </si>
  <si>
    <t>naman</t>
  </si>
  <si>
    <t>krishna</t>
  </si>
  <si>
    <t>ozef</t>
  </si>
  <si>
    <t>saad</t>
  </si>
  <si>
    <t>nalband</t>
  </si>
  <si>
    <t>soni</t>
  </si>
  <si>
    <t>subject</t>
  </si>
  <si>
    <t>maths</t>
  </si>
  <si>
    <t xml:space="preserve">english </t>
  </si>
  <si>
    <t>english</t>
  </si>
  <si>
    <t>IFS</t>
  </si>
  <si>
    <t>IF</t>
  </si>
  <si>
    <t>panhalkar</t>
  </si>
  <si>
    <t>bagwan</t>
  </si>
  <si>
    <t>warunksar</t>
  </si>
  <si>
    <t>warunkar</t>
  </si>
  <si>
    <t>dangare</t>
  </si>
  <si>
    <t>ghule</t>
  </si>
  <si>
    <t>sharma</t>
  </si>
  <si>
    <t>sondhiya</t>
  </si>
  <si>
    <t>waikar</t>
  </si>
  <si>
    <t>shaikh</t>
  </si>
  <si>
    <t>hindi</t>
  </si>
  <si>
    <t>geography</t>
  </si>
  <si>
    <t>science</t>
  </si>
  <si>
    <t>data science</t>
  </si>
  <si>
    <t>marathi</t>
  </si>
  <si>
    <t>history</t>
  </si>
  <si>
    <t>machine learn</t>
  </si>
  <si>
    <t>AI</t>
  </si>
  <si>
    <t>sanskrit</t>
  </si>
  <si>
    <t>M2</t>
  </si>
  <si>
    <t>M1</t>
  </si>
  <si>
    <t>OR</t>
  </si>
  <si>
    <t>AND</t>
  </si>
  <si>
    <t>NOT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</si>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</sst>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4E7A4-6DA8-4B92-9B48-FF2241E9CF22}" name="Table2" displayName="Table2" ref="A1:K14" totalsRowShown="0">
  <autoFilter ref="A1:K14" xr:uid="{32F4E7A4-6DA8-4B92-9B48-FF2241E9CF22}"/>
  <tableColumns count="11">
    <tableColumn id="1" xr3:uid="{AE317DC4-302D-419D-B686-3F6AA65A1472}" name="first name"/>
    <tableColumn id="2" xr3:uid="{EC0A6439-4C74-4C57-AF96-40A2F4E205A4}" name="last name"/>
    <tableColumn id="3" xr3:uid="{677431C6-1CC3-4006-A188-5C6B12F39D30}" name="subject"/>
    <tableColumn id="4" xr3:uid="{6CB3D0E4-9D63-40B6-9AB7-3C8308790403}" name="maths" dataDxfId="7"/>
    <tableColumn id="5" xr3:uid="{FF53B332-91AF-4986-B9A2-BD1ED45CB5C2}" name="english" dataDxfId="6"/>
    <tableColumn id="6" xr3:uid="{9DC58829-440C-4A0B-A29B-872A9DD52AFE}" name="IF" dataDxfId="5">
      <calculatedColumnFormula>IF(E2&gt;50,"Good Marks","Bad Marks")</calculatedColumnFormula>
    </tableColumn>
    <tableColumn id="7" xr3:uid="{761F18AF-DDBA-49E6-A166-120020C2D48F}" name="IFS" dataDxfId="4">
      <calculatedColumnFormula>_xlfn.IFS(Table2[[#This Row],[english]]&lt;50,"BAD MARKS",Table2[[#This Row],[english]]&lt;=70,"AVERAGE",Table2[[#This Row],[english]]&gt;50,"GOOD MARKS")</calculatedColumnFormula>
    </tableColumn>
    <tableColumn id="8" xr3:uid="{2DE0D132-54D4-4F9D-92AF-DC232E81CC65}" name="AND" dataDxfId="3">
      <calculatedColumnFormula>AND(Table2[[#This Row],[maths]]&gt;50,"true")</calculatedColumnFormula>
    </tableColumn>
    <tableColumn id="9" xr3:uid="{D4F76034-BBD0-4576-B33C-2A461042CC46}" name="OR" dataDxfId="2">
      <calculatedColumnFormula>OR(Table2[[#This Row],[maths]]&gt;50,Table2[[#This Row],[first name]]="ZAID")</calculatedColumnFormula>
    </tableColumn>
    <tableColumn id="10" xr3:uid="{082D88B4-0DCB-44C5-BEBD-AC606E07524B}" name="NOT" dataDxfId="1">
      <calculatedColumnFormula>NOT(AND(Table2[[#This Row],[maths]]&gt;50,"TRUE"))</calculatedColumnFormula>
    </tableColumn>
    <tableColumn id="11" xr3:uid="{9160A132-C6FB-4726-A36B-5E25B7689FD8}" name="IFERROR" dataDxfId="0">
      <calculatedColumnFormula>IFERROR(_xlfn.IFS(D2&lt;50,"average marks",D2&gt;60,"good marks"),"something is missing")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1D78-D596-418E-B8FB-62D70B720248}">
  <dimension ref="A1:K14"/>
  <sheetViews>
    <sheetView tabSelected="1" topLeftCell="C1" zoomScale="142" zoomScaleNormal="275" workbookViewId="0">
      <selection activeCell="K3" sqref="K3"/>
    </sheetView>
  </sheetViews>
  <sheetFormatPr defaultRowHeight="14.4" x14ac:dyDescent="0.3"/>
  <cols>
    <col min="1" max="1" width="9.44140625" customWidth="1"/>
    <col min="2" max="2" width="13.6640625" customWidth="1"/>
    <col min="3" max="3" width="12.6640625" customWidth="1"/>
    <col min="4" max="5" width="8.88671875" style="1"/>
    <col min="6" max="6" width="13.77734375" style="2" customWidth="1"/>
    <col min="7" max="7" width="17.5546875" style="3" customWidth="1"/>
    <col min="8" max="8" width="15.44140625" style="3" customWidth="1"/>
    <col min="9" max="9" width="16.21875" style="3" customWidth="1"/>
    <col min="10" max="10" width="16.5546875" customWidth="1"/>
    <col min="11" max="11" width="20.88671875" customWidth="1"/>
    <col min="12" max="12" width="8.88671875" customWidth="1"/>
  </cols>
  <sheetData>
    <row r="1" spans="1:11" x14ac:dyDescent="0.3">
      <c r="A1" t="s">
        <v>0</v>
      </c>
      <c r="B1" t="s">
        <v>1</v>
      </c>
      <c r="C1" t="s">
        <v>16</v>
      </c>
      <c r="D1" s="1" t="s">
        <v>17</v>
      </c>
      <c r="E1" s="1" t="s">
        <v>19</v>
      </c>
      <c r="F1" s="2" t="s">
        <v>21</v>
      </c>
      <c r="G1" s="3" t="s">
        <v>20</v>
      </c>
      <c r="H1" s="3" t="s">
        <v>44</v>
      </c>
      <c r="I1" s="3" t="s">
        <v>43</v>
      </c>
      <c r="J1" t="s">
        <v>45</v>
      </c>
      <c r="K1" t="s">
        <v>46</v>
      </c>
    </row>
    <row r="2" spans="1:11" x14ac:dyDescent="0.3">
      <c r="A2" t="s">
        <v>2</v>
      </c>
      <c r="B2" t="s">
        <v>14</v>
      </c>
      <c r="C2" t="s">
        <v>42</v>
      </c>
      <c r="D2" s="1">
        <v>100</v>
      </c>
      <c r="E2" s="1">
        <v>100</v>
      </c>
      <c r="F2" s="2" t="str">
        <f>IF(E2&gt;H350,"Good Marks","Bad Marks")</f>
        <v>Good Marks</v>
      </c>
      <c r="G2" s="3" t="str">
        <f>_xlfn.IFS(Table2[[#This Row],[english]]&lt;50,"BAD MARKS",Table2[[#This Row],[english]]&lt;=70,"AVERAGE",Table2[[#This Row],[english]]&gt;50,"GOOD MARKS")</f>
        <v>GOOD MARKS</v>
      </c>
      <c r="H2" s="3" t="b">
        <f>AND(Table2[[#This Row],[maths]]&gt;50,"true")</f>
        <v>1</v>
      </c>
      <c r="I2" s="3" t="b">
        <f>OR(Table2[[#This Row],[maths]]&gt;50,Table2[[#This Row],[first name]]="ZAID")</f>
        <v>1</v>
      </c>
      <c r="J2" s="3" t="b">
        <f>NOT(AND(Table2[[#This Row],[maths]]&gt;50,"TRUE"))</f>
        <v>0</v>
      </c>
      <c r="K2" s="3" t="str">
        <f>IFERROR(_xlfn.IFS(D2&lt;50,"average marks",D2&gt;60,"good marks"),"something is missing")</f>
        <v>good marks</v>
      </c>
    </row>
    <row r="3" spans="1:11" x14ac:dyDescent="0.3">
      <c r="A3" t="s">
        <v>3</v>
      </c>
      <c r="B3" t="s">
        <v>15</v>
      </c>
      <c r="C3" t="s">
        <v>18</v>
      </c>
      <c r="D3" s="1">
        <v>45</v>
      </c>
      <c r="E3" s="1">
        <v>67</v>
      </c>
      <c r="F3" s="2" t="str">
        <f t="shared" ref="F3:F13" si="0">IF(E3&gt;50,"Good Marks","Bad Marks")</f>
        <v>Good Marks</v>
      </c>
      <c r="G3" s="3" t="str">
        <f>_xlfn.IFS(Table2[[#This Row],[english]]&lt;50,"BAD MARKS",Table2[[#This Row],[english]]&lt;=70,"AVERAGE",Table2[[#This Row],[english]]&gt;50,"GOOD MARKS")</f>
        <v>AVERAGE</v>
      </c>
      <c r="H3" s="3" t="b">
        <f>AND(Table2[[#This Row],[maths]]&gt;50,"true")</f>
        <v>0</v>
      </c>
      <c r="I3" s="3" t="b">
        <f>OR(Table2[[#This Row],[maths]]&gt;50,Table2[[#This Row],[first name]]="ZAID")</f>
        <v>0</v>
      </c>
      <c r="J3" s="3" t="b">
        <f>NOT(AND(Table2[[#This Row],[maths]]&gt;50,"TRUE"))</f>
        <v>1</v>
      </c>
      <c r="K3" s="3" t="str">
        <f t="shared" ref="K3:K14" si="1">IFERROR(_xlfn.IFS(D3&lt;50,"average marks",D3&gt;60,"good marks"),"something is missing")</f>
        <v>average marks</v>
      </c>
    </row>
    <row r="4" spans="1:11" x14ac:dyDescent="0.3">
      <c r="A4" t="s">
        <v>4</v>
      </c>
      <c r="B4" t="s">
        <v>22</v>
      </c>
      <c r="C4" t="s">
        <v>32</v>
      </c>
      <c r="D4" s="1">
        <v>56</v>
      </c>
      <c r="E4" s="1">
        <v>54</v>
      </c>
      <c r="F4" s="2" t="str">
        <f t="shared" si="0"/>
        <v>Good Marks</v>
      </c>
      <c r="G4" s="3" t="str">
        <f>_xlfn.IFS(Table2[[#This Row],[english]]&lt;50,"BAD MARKS",Table2[[#This Row],[english]]&lt;=70,"AVERAGE",Table2[[#This Row],[english]]&gt;50,"GOOD MARKS")</f>
        <v>AVERAGE</v>
      </c>
      <c r="H4" s="3" t="b">
        <f>AND(Table2[[#This Row],[maths]]&gt;50,"true")</f>
        <v>1</v>
      </c>
      <c r="I4" s="3" t="b">
        <f>OR(Table2[[#This Row],[maths]]&gt;50,Table2[[#This Row],[first name]]="ZAID")</f>
        <v>1</v>
      </c>
      <c r="J4" s="3" t="b">
        <f>NOT(AND(Table2[[#This Row],[maths]]&gt;50,"TRUE"))</f>
        <v>0</v>
      </c>
      <c r="K4" s="3" t="str">
        <f t="shared" si="1"/>
        <v>something is missing</v>
      </c>
    </row>
    <row r="5" spans="1:11" x14ac:dyDescent="0.3">
      <c r="A5" t="s">
        <v>5</v>
      </c>
      <c r="B5" t="s">
        <v>23</v>
      </c>
      <c r="C5" t="s">
        <v>41</v>
      </c>
      <c r="D5" s="1">
        <v>76</v>
      </c>
      <c r="E5" s="1">
        <v>45</v>
      </c>
      <c r="F5" s="2" t="str">
        <f t="shared" si="0"/>
        <v>Bad Marks</v>
      </c>
      <c r="G5" s="3" t="str">
        <f>_xlfn.IFS(Table2[[#This Row],[english]]&lt;50,"BAD MARKS",Table2[[#This Row],[english]]&lt;=70,"AVERAGE",Table2[[#This Row],[english]]&gt;50,"GOOD MARKS")</f>
        <v>BAD MARKS</v>
      </c>
      <c r="H5" s="3" t="b">
        <f>AND(Table2[[#This Row],[maths]]&gt;50,"true")</f>
        <v>1</v>
      </c>
      <c r="I5" s="3" t="b">
        <f>OR(Table2[[#This Row],[maths]]&gt;50,Table2[[#This Row],[first name]]="ZAID")</f>
        <v>1</v>
      </c>
      <c r="J5" s="3" t="b">
        <f>NOT(AND(Table2[[#This Row],[maths]]&gt;50,"TRUE"))</f>
        <v>0</v>
      </c>
      <c r="K5" s="3" t="str">
        <f t="shared" si="1"/>
        <v>good marks</v>
      </c>
    </row>
    <row r="6" spans="1:11" x14ac:dyDescent="0.3">
      <c r="A6" t="s">
        <v>6</v>
      </c>
      <c r="B6" t="s">
        <v>24</v>
      </c>
      <c r="C6" t="s">
        <v>33</v>
      </c>
      <c r="D6" s="1">
        <v>87</v>
      </c>
      <c r="E6" s="1">
        <v>54</v>
      </c>
      <c r="F6" s="2" t="str">
        <f t="shared" si="0"/>
        <v>Good Marks</v>
      </c>
      <c r="G6" s="3" t="str">
        <f>_xlfn.IFS(Table2[[#This Row],[english]]&lt;50,"BAD MARKS",Table2[[#This Row],[english]]&lt;=70,"AVERAGE",Table2[[#This Row],[english]]&gt;50,"GOOD MARKS")</f>
        <v>AVERAGE</v>
      </c>
      <c r="H6" s="3" t="b">
        <f>AND(Table2[[#This Row],[maths]]&gt;50,"true")</f>
        <v>1</v>
      </c>
      <c r="I6" s="3" t="b">
        <f>OR(Table2[[#This Row],[maths]]&gt;50,Table2[[#This Row],[first name]]="ZAID")</f>
        <v>1</v>
      </c>
      <c r="J6" s="3" t="b">
        <f>NOT(AND(Table2[[#This Row],[maths]]&gt;50,"TRUE"))</f>
        <v>0</v>
      </c>
      <c r="K6" s="3" t="str">
        <f t="shared" si="1"/>
        <v>good marks</v>
      </c>
    </row>
    <row r="7" spans="1:11" x14ac:dyDescent="0.3">
      <c r="A7" t="s">
        <v>7</v>
      </c>
      <c r="B7" t="s">
        <v>25</v>
      </c>
      <c r="C7" t="s">
        <v>34</v>
      </c>
      <c r="D7" s="1">
        <v>56</v>
      </c>
      <c r="E7" s="1">
        <v>65</v>
      </c>
      <c r="F7" s="2" t="str">
        <f t="shared" si="0"/>
        <v>Good Marks</v>
      </c>
      <c r="G7" s="3" t="str">
        <f>_xlfn.IFS(Table2[[#This Row],[english]]&lt;50,"BAD MARKS",Table2[[#This Row],[english]]&lt;=70,"AVERAGE",Table2[[#This Row],[english]]&gt;50,"GOOD MARKS")</f>
        <v>AVERAGE</v>
      </c>
      <c r="H7" s="3" t="b">
        <f>AND(Table2[[#This Row],[maths]]&gt;50,"true")</f>
        <v>1</v>
      </c>
      <c r="I7" s="3" t="b">
        <f>OR(Table2[[#This Row],[maths]]&gt;50,Table2[[#This Row],[first name]]="ZAID")</f>
        <v>1</v>
      </c>
      <c r="J7" s="3" t="b">
        <f>NOT(AND(Table2[[#This Row],[maths]]&gt;50,"TRUE"))</f>
        <v>0</v>
      </c>
      <c r="K7" s="3" t="str">
        <f t="shared" si="1"/>
        <v>something is missing</v>
      </c>
    </row>
    <row r="8" spans="1:11" x14ac:dyDescent="0.3">
      <c r="A8" t="s">
        <v>8</v>
      </c>
      <c r="B8" t="s">
        <v>26</v>
      </c>
      <c r="C8" t="s">
        <v>35</v>
      </c>
      <c r="D8" s="1">
        <v>89</v>
      </c>
      <c r="E8" s="1">
        <v>76</v>
      </c>
      <c r="F8" s="2" t="str">
        <f t="shared" si="0"/>
        <v>Good Marks</v>
      </c>
      <c r="G8" s="3" t="str">
        <f>_xlfn.IFS(Table2[[#This Row],[english]]&lt;50,"BAD MARKS",Table2[[#This Row],[english]]&lt;=70,"AVERAGE",Table2[[#This Row],[english]]&gt;50,"GOOD MARKS")</f>
        <v>GOOD MARKS</v>
      </c>
      <c r="H8" s="3" t="b">
        <f>AND(Table2[[#This Row],[maths]]&gt;50,"true")</f>
        <v>1</v>
      </c>
      <c r="I8" s="3" t="b">
        <f>OR(Table2[[#This Row],[maths]]&gt;50,Table2[[#This Row],[first name]]="ZAID")</f>
        <v>1</v>
      </c>
      <c r="J8" s="3" t="b">
        <f>NOT(AND(Table2[[#This Row],[maths]]&gt;50,"TRUE"))</f>
        <v>0</v>
      </c>
      <c r="K8" s="3" t="str">
        <f t="shared" si="1"/>
        <v>good marks</v>
      </c>
    </row>
    <row r="9" spans="1:11" x14ac:dyDescent="0.3">
      <c r="A9" t="s">
        <v>9</v>
      </c>
      <c r="B9" t="s">
        <v>27</v>
      </c>
      <c r="C9" t="s">
        <v>36</v>
      </c>
      <c r="D9" s="1">
        <v>54</v>
      </c>
      <c r="E9" s="1">
        <v>87</v>
      </c>
      <c r="F9" s="2" t="str">
        <f t="shared" si="0"/>
        <v>Good Marks</v>
      </c>
      <c r="G9" s="3" t="str">
        <f>_xlfn.IFS(Table2[[#This Row],[english]]&lt;50,"BAD MARKS",Table2[[#This Row],[english]]&lt;=70,"AVERAGE",Table2[[#This Row],[english]]&gt;50,"GOOD MARKS")</f>
        <v>GOOD MARKS</v>
      </c>
      <c r="H9" s="3" t="b">
        <f>AND(Table2[[#This Row],[maths]]&gt;50,"true")</f>
        <v>1</v>
      </c>
      <c r="I9" s="3" t="b">
        <f>OR(Table2[[#This Row],[maths]]&gt;50,Table2[[#This Row],[first name]]="ZAID")</f>
        <v>1</v>
      </c>
      <c r="J9" s="3" t="b">
        <f>NOT(AND(Table2[[#This Row],[maths]]&gt;50,"TRUE"))</f>
        <v>0</v>
      </c>
      <c r="K9" s="3" t="str">
        <f t="shared" si="1"/>
        <v>something is missing</v>
      </c>
    </row>
    <row r="10" spans="1:11" x14ac:dyDescent="0.3">
      <c r="A10" t="s">
        <v>10</v>
      </c>
      <c r="B10" t="s">
        <v>28</v>
      </c>
      <c r="C10" t="s">
        <v>37</v>
      </c>
      <c r="D10" s="1">
        <v>32</v>
      </c>
      <c r="E10" s="1">
        <v>87</v>
      </c>
      <c r="F10" s="2" t="str">
        <f t="shared" si="0"/>
        <v>Good Marks</v>
      </c>
      <c r="G10" s="3" t="str">
        <f>_xlfn.IFS(Table2[[#This Row],[english]]&lt;50,"BAD MARKS",Table2[[#This Row],[english]]&lt;=70,"AVERAGE",Table2[[#This Row],[english]]&gt;50,"GOOD MARKS")</f>
        <v>GOOD MARKS</v>
      </c>
      <c r="H10" s="3" t="b">
        <f>AND(Table2[[#This Row],[maths]]&gt;50,"true")</f>
        <v>0</v>
      </c>
      <c r="I10" s="3" t="b">
        <f>OR(Table2[[#This Row],[maths]]&gt;50,Table2[[#This Row],[first name]]="ZAID")</f>
        <v>0</v>
      </c>
      <c r="J10" s="3" t="b">
        <f>NOT(AND(Table2[[#This Row],[maths]]&gt;50,"TRUE"))</f>
        <v>1</v>
      </c>
      <c r="K10" s="3" t="str">
        <f t="shared" si="1"/>
        <v>average marks</v>
      </c>
    </row>
    <row r="11" spans="1:11" x14ac:dyDescent="0.3">
      <c r="A11" t="s">
        <v>11</v>
      </c>
      <c r="B11" t="s">
        <v>29</v>
      </c>
      <c r="C11" t="s">
        <v>38</v>
      </c>
      <c r="D11" s="1">
        <v>45</v>
      </c>
      <c r="E11" s="1">
        <v>65</v>
      </c>
      <c r="F11" s="2" t="str">
        <f t="shared" si="0"/>
        <v>Good Marks</v>
      </c>
      <c r="G11" s="3" t="str">
        <f>_xlfn.IFS(Table2[[#This Row],[english]]&lt;50,"BAD MARKS",Table2[[#This Row],[english]]&lt;=70,"AVERAGE",Table2[[#This Row],[english]]&gt;50,"GOOD MARKS")</f>
        <v>AVERAGE</v>
      </c>
      <c r="H11" s="3" t="b">
        <f>AND(Table2[[#This Row],[maths]]&gt;50,"true")</f>
        <v>0</v>
      </c>
      <c r="I11" s="3" t="b">
        <f>OR(Table2[[#This Row],[maths]]&gt;50,Table2[[#This Row],[first name]]="ZAID")</f>
        <v>0</v>
      </c>
      <c r="J11" s="3" t="b">
        <f>NOT(AND(Table2[[#This Row],[maths]]&gt;50,"TRUE"))</f>
        <v>1</v>
      </c>
      <c r="K11" s="3" t="str">
        <f t="shared" si="1"/>
        <v>average marks</v>
      </c>
    </row>
    <row r="12" spans="1:11" x14ac:dyDescent="0.3">
      <c r="A12" t="s">
        <v>12</v>
      </c>
      <c r="B12" t="s">
        <v>30</v>
      </c>
      <c r="C12" t="s">
        <v>39</v>
      </c>
      <c r="D12" s="1">
        <v>23</v>
      </c>
      <c r="E12" s="1">
        <v>76</v>
      </c>
      <c r="F12" s="2" t="str">
        <f t="shared" si="0"/>
        <v>Good Marks</v>
      </c>
      <c r="G12" s="3" t="str">
        <f>_xlfn.IFS(Table2[[#This Row],[english]]&lt;50,"BAD MARKS",Table2[[#This Row],[english]]&lt;=70,"AVERAGE",Table2[[#This Row],[english]]&gt;50,"GOOD MARKS")</f>
        <v>GOOD MARKS</v>
      </c>
      <c r="H12" s="3" t="b">
        <f>AND(Table2[[#This Row],[maths]]&gt;50,"true")</f>
        <v>0</v>
      </c>
      <c r="I12" s="3" t="b">
        <f>OR(Table2[[#This Row],[maths]]&gt;50,Table2[[#This Row],[first name]]="ZAID")</f>
        <v>0</v>
      </c>
      <c r="J12" s="3" t="b">
        <f>NOT(AND(Table2[[#This Row],[maths]]&gt;50,"TRUE"))</f>
        <v>1</v>
      </c>
      <c r="K12" s="3" t="str">
        <f t="shared" si="1"/>
        <v>average marks</v>
      </c>
    </row>
    <row r="13" spans="1:11" x14ac:dyDescent="0.3">
      <c r="A13" t="s">
        <v>13</v>
      </c>
      <c r="B13" t="s">
        <v>31</v>
      </c>
      <c r="C13" t="s">
        <v>40</v>
      </c>
      <c r="D13" s="1">
        <v>12</v>
      </c>
      <c r="E13" s="1">
        <v>43</v>
      </c>
      <c r="F13" s="2" t="str">
        <f t="shared" si="0"/>
        <v>Bad Marks</v>
      </c>
      <c r="G13" s="3" t="str">
        <f>_xlfn.IFS(Table2[[#This Row],[english]]&lt;50,"BAD MARKS",Table2[[#This Row],[english]]&lt;=70,"AVERAGE",Table2[[#This Row],[english]]&gt;50,"GOOD MARKS")</f>
        <v>BAD MARKS</v>
      </c>
      <c r="H13" s="3" t="b">
        <f>AND(Table2[[#This Row],[maths]]&gt;50,"true")</f>
        <v>0</v>
      </c>
      <c r="I13" s="3" t="b">
        <f>OR(Table2[[#This Row],[maths]]&gt;50,Table2[[#This Row],[first name]]="ZAID")</f>
        <v>0</v>
      </c>
      <c r="J13" s="3" t="b">
        <f>NOT(AND(Table2[[#This Row],[maths]]&gt;50,"TRUE"))</f>
        <v>1</v>
      </c>
      <c r="K13" s="3" t="str">
        <f t="shared" si="1"/>
        <v>average marks</v>
      </c>
    </row>
    <row r="14" spans="1:11" x14ac:dyDescent="0.3">
      <c r="H14" s="3" t="b">
        <f>AND(Table2[[#This Row],[maths]]&gt;50,"true")</f>
        <v>0</v>
      </c>
      <c r="I14" s="3" t="b">
        <f>OR(Table2[[#This Row],[maths]]&gt;50,Table2[[#This Row],[first name]]="ZAID")</f>
        <v>0</v>
      </c>
      <c r="J14" s="3" t="b">
        <f>NOT(AND(Table2[[#This Row],[maths]]&gt;50,"TRUE"))</f>
        <v>1</v>
      </c>
      <c r="K14" s="3" t="str">
        <f t="shared" si="1"/>
        <v>average marks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Nalband</dc:creator>
  <cp:lastModifiedBy>Zaid Nalband</cp:lastModifiedBy>
  <dcterms:created xsi:type="dcterms:W3CDTF">2026-07-03T05:57:45Z</dcterms:created>
  <dcterms:modified xsi:type="dcterms:W3CDTF">2026-07-08T07:12:44Z</dcterms:modified>
</cp:coreProperties>
</file>